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tuding\Physics\Лабы\Sem4\Lab233\"/>
    </mc:Choice>
  </mc:AlternateContent>
  <xr:revisionPtr revIDLastSave="0" documentId="13_ncr:1_{B37FF6C6-12F7-49B2-8D07-93E08AA38D4D}" xr6:coauthVersionLast="47" xr6:coauthVersionMax="47" xr10:uidLastSave="{00000000-0000-0000-0000-000000000000}"/>
  <bookViews>
    <workbookView xWindow="5469" yWindow="3926" windowWidth="18514" windowHeight="9583" xr2:uid="{657717CB-56FA-48FB-B924-8918A433FFE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AE18" i="1"/>
  <c r="B54" i="1"/>
  <c r="A54" i="1"/>
  <c r="C44" i="1"/>
  <c r="C45" i="1"/>
  <c r="C46" i="1"/>
  <c r="C47" i="1"/>
  <c r="C43" i="1"/>
  <c r="AF18" i="1" l="1"/>
</calcChain>
</file>

<file path=xl/sharedStrings.xml><?xml version="1.0" encoding="utf-8"?>
<sst xmlns="http://schemas.openxmlformats.org/spreadsheetml/2006/main" count="26" uniqueCount="21">
  <si>
    <t>мВ</t>
  </si>
  <si>
    <t>ЧАСТЬ 2</t>
  </si>
  <si>
    <t>Открытый конец</t>
  </si>
  <si>
    <t>phi</t>
  </si>
  <si>
    <t>Рупор</t>
  </si>
  <si>
    <t>ЧАСТЬ 3</t>
  </si>
  <si>
    <t>ДН</t>
  </si>
  <si>
    <t>Поляризатор</t>
  </si>
  <si>
    <t>ЧАСТЬ 5</t>
  </si>
  <si>
    <t>Интерферометр</t>
  </si>
  <si>
    <t>нули</t>
  </si>
  <si>
    <t>Данная формула работает эквивалентно ширине лепестка по мощности.
Уровень половинной мощности определяется на 0.7, что соответсвует амплитуде в sqrt(2) раз меньшей.</t>
  </si>
  <si>
    <t>рупор</t>
  </si>
  <si>
    <t>открытый конец</t>
  </si>
  <si>
    <t>руопор</t>
  </si>
  <si>
    <t>эксп</t>
  </si>
  <si>
    <t>теория</t>
  </si>
  <si>
    <t>минимальные расстояния 
= граница дальней зоны, мм</t>
  </si>
  <si>
    <t>длина волны = 2*dx_ср</t>
  </si>
  <si>
    <t>x, mm</t>
  </si>
  <si>
    <t>dx,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</si>
</sst>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Поляризатор</a:t>
            </a:r>
          </a:p>
        </c:rich>
      </c:tx>
      <c:layout>
        <c:manualLayout>
          <c:xMode val="edge"/>
          <c:yMode val="edge"/>
          <c:x val="0.42221986764572139"/>
          <c:y val="6.623751364192886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6159381410077331E-2"/>
          <c:y val="7.6471209499606896E-2"/>
          <c:w val="0.89017131876770283"/>
          <c:h val="0.82088254967487551"/>
        </c:manualLayout>
      </c:layout>
      <c:scatterChart>
        <c:scatterStyle val="smoothMarker"/>
        <c:varyColors val="0"/>
        <c:ser>
          <c:idx val="0"/>
          <c:order val="0"/>
          <c:tx>
            <c:v>эксперимент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Лист1!$A$20:$A$38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</c:numCache>
            </c:numRef>
          </c:xVal>
          <c:yVal>
            <c:numRef>
              <c:f>Лист1!$B$20:$B$38</c:f>
              <c:numCache>
                <c:formatCode>General</c:formatCode>
                <c:ptCount val="19"/>
                <c:pt idx="0">
                  <c:v>26.8</c:v>
                </c:pt>
                <c:pt idx="1">
                  <c:v>36</c:v>
                </c:pt>
                <c:pt idx="2">
                  <c:v>72</c:v>
                </c:pt>
                <c:pt idx="3">
                  <c:v>141</c:v>
                </c:pt>
                <c:pt idx="4">
                  <c:v>330</c:v>
                </c:pt>
                <c:pt idx="5">
                  <c:v>462</c:v>
                </c:pt>
                <c:pt idx="6">
                  <c:v>552</c:v>
                </c:pt>
                <c:pt idx="7">
                  <c:v>584</c:v>
                </c:pt>
                <c:pt idx="8">
                  <c:v>612</c:v>
                </c:pt>
                <c:pt idx="9">
                  <c:v>612</c:v>
                </c:pt>
                <c:pt idx="10">
                  <c:v>608</c:v>
                </c:pt>
                <c:pt idx="11">
                  <c:v>572</c:v>
                </c:pt>
                <c:pt idx="12">
                  <c:v>536</c:v>
                </c:pt>
                <c:pt idx="13">
                  <c:v>438</c:v>
                </c:pt>
                <c:pt idx="14">
                  <c:v>250</c:v>
                </c:pt>
                <c:pt idx="15">
                  <c:v>149</c:v>
                </c:pt>
                <c:pt idx="16">
                  <c:v>60</c:v>
                </c:pt>
                <c:pt idx="17">
                  <c:v>36.4</c:v>
                </c:pt>
                <c:pt idx="18">
                  <c:v>54.4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55-444F-8676-7E9BAE36CC52}"/>
            </c:ext>
          </c:extLst>
        </c:ser>
        <c:ser>
          <c:idx val="1"/>
          <c:order val="1"/>
          <c:tx>
            <c:v>Малюс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Лист1!$A$20:$A$38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</c:numCache>
            </c:numRef>
          </c:xVal>
          <c:yVal>
            <c:numRef>
              <c:f>Лист1!$C$20:$C$38</c:f>
              <c:numCache>
                <c:formatCode>General</c:formatCode>
                <c:ptCount val="19"/>
                <c:pt idx="1">
                  <c:v>18.454058039512031</c:v>
                </c:pt>
                <c:pt idx="2">
                  <c:v>71.590400405592717</c:v>
                </c:pt>
                <c:pt idx="3">
                  <c:v>152.99999999999997</c:v>
                </c:pt>
                <c:pt idx="4">
                  <c:v>252.86365763391925</c:v>
                </c:pt>
                <c:pt idx="5">
                  <c:v>359.13634236608067</c:v>
                </c:pt>
                <c:pt idx="6">
                  <c:v>458.99999999999994</c:v>
                </c:pt>
                <c:pt idx="7">
                  <c:v>540.40959959440715</c:v>
                </c:pt>
                <c:pt idx="8">
                  <c:v>593.54594196048788</c:v>
                </c:pt>
                <c:pt idx="9">
                  <c:v>612</c:v>
                </c:pt>
                <c:pt idx="10">
                  <c:v>593.54594196048788</c:v>
                </c:pt>
                <c:pt idx="11">
                  <c:v>540.40959959440727</c:v>
                </c:pt>
                <c:pt idx="12">
                  <c:v>459.00000000000006</c:v>
                </c:pt>
                <c:pt idx="13">
                  <c:v>359.13634236608067</c:v>
                </c:pt>
                <c:pt idx="14">
                  <c:v>252.86365763391942</c:v>
                </c:pt>
                <c:pt idx="15">
                  <c:v>152.99999999999997</c:v>
                </c:pt>
                <c:pt idx="16">
                  <c:v>71.590400405592774</c:v>
                </c:pt>
                <c:pt idx="17">
                  <c:v>18.45405803951202</c:v>
                </c:pt>
                <c:pt idx="18">
                  <c:v>9.186051067777671E-30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55-444F-8676-7E9BAE36C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879536"/>
        <c:axId val="1778876176"/>
      </c:scatterChart>
      <c:valAx>
        <c:axId val="177887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угол поворота в градусах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8876176"/>
        <c:crosses val="autoZero"/>
        <c:crossBetween val="midCat"/>
        <c:majorUnit val="10"/>
      </c:valAx>
      <c:valAx>
        <c:axId val="17788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8879536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973594530830675E-2"/>
          <c:y val="0.1227665375382854"/>
          <c:w val="0.23058210919427516"/>
          <c:h val="4.9866105571958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10731</xdr:colOff>
      <xdr:row>32</xdr:row>
      <xdr:rowOff>7511</xdr:rowOff>
    </xdr:from>
    <xdr:to>
      <xdr:col>19</xdr:col>
      <xdr:colOff>165100</xdr:colOff>
      <xdr:row>55</xdr:row>
      <xdr:rowOff>114300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417DA3B3-FCE2-F146-ADE9-5A5C9277E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19792</xdr:colOff>
      <xdr:row>1</xdr:row>
      <xdr:rowOff>59377</xdr:rowOff>
    </xdr:from>
    <xdr:to>
      <xdr:col>12</xdr:col>
      <xdr:colOff>544286</xdr:colOff>
      <xdr:row>28</xdr:row>
      <xdr:rowOff>30263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4459784-FD7D-464E-8288-71D39B75E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6156" y="237506"/>
          <a:ext cx="4680857" cy="4780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217715</xdr:colOff>
      <xdr:row>1</xdr:row>
      <xdr:rowOff>89065</xdr:rowOff>
    </xdr:from>
    <xdr:to>
      <xdr:col>21</xdr:col>
      <xdr:colOff>40781</xdr:colOff>
      <xdr:row>32</xdr:row>
      <xdr:rowOff>24740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9132EF4-9CC8-4862-A115-2E0A1F3A4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3170" y="267194"/>
          <a:ext cx="5364884" cy="5457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69A4-0272-475D-BB64-85BEDE35EBA0}">
  <dimension ref="A1:AF54"/>
  <sheetViews>
    <sheetView tabSelected="1" zoomScale="55" zoomScaleNormal="55" workbookViewId="0">
      <selection activeCell="G32" sqref="G32"/>
    </sheetView>
  </sheetViews>
  <sheetFormatPr defaultRowHeight="14.15"/>
  <cols>
    <col min="28" max="28" width="14.78515625" customWidth="1"/>
    <col min="31" max="31" width="14.42578125" customWidth="1"/>
    <col min="32" max="32" width="17.2109375" customWidth="1"/>
  </cols>
  <sheetData>
    <row r="1" spans="1:32">
      <c r="A1" s="1" t="s">
        <v>1</v>
      </c>
      <c r="B1" s="6" t="s">
        <v>6</v>
      </c>
      <c r="C1" s="6"/>
    </row>
    <row r="3" spans="1:32">
      <c r="A3" t="s">
        <v>2</v>
      </c>
      <c r="D3" s="6" t="s">
        <v>4</v>
      </c>
      <c r="E3" s="6"/>
    </row>
    <row r="4" spans="1:32">
      <c r="A4" s="2" t="s">
        <v>3</v>
      </c>
      <c r="B4" s="2" t="s">
        <v>0</v>
      </c>
      <c r="D4" s="2" t="s">
        <v>3</v>
      </c>
      <c r="E4" s="2" t="s">
        <v>0</v>
      </c>
      <c r="Z4" s="7" t="s">
        <v>11</v>
      </c>
      <c r="AA4" s="8"/>
      <c r="AB4" s="8"/>
      <c r="AC4" s="8"/>
      <c r="AD4" s="8"/>
      <c r="AE4" s="8"/>
      <c r="AF4" s="8"/>
    </row>
    <row r="5" spans="1:32">
      <c r="A5">
        <v>0</v>
      </c>
      <c r="B5">
        <v>187</v>
      </c>
      <c r="D5">
        <v>0</v>
      </c>
      <c r="E5">
        <v>608</v>
      </c>
      <c r="Z5" s="8"/>
      <c r="AA5" s="8"/>
      <c r="AB5" s="8"/>
      <c r="AC5" s="8"/>
      <c r="AD5" s="8"/>
      <c r="AE5" s="8"/>
      <c r="AF5" s="8"/>
    </row>
    <row r="6" spans="1:32">
      <c r="A6">
        <v>10</v>
      </c>
      <c r="B6">
        <v>139</v>
      </c>
      <c r="D6">
        <v>10</v>
      </c>
      <c r="E6">
        <v>552</v>
      </c>
      <c r="Z6" s="8"/>
      <c r="AA6" s="8"/>
      <c r="AB6" s="8"/>
      <c r="AC6" s="8"/>
      <c r="AD6" s="8"/>
      <c r="AE6" s="8"/>
      <c r="AF6" s="8"/>
    </row>
    <row r="7" spans="1:32">
      <c r="A7">
        <v>20</v>
      </c>
      <c r="B7">
        <v>147</v>
      </c>
      <c r="D7">
        <v>20</v>
      </c>
      <c r="E7">
        <v>354</v>
      </c>
      <c r="Z7" s="8"/>
      <c r="AA7" s="8"/>
      <c r="AB7" s="8"/>
      <c r="AC7" s="8"/>
      <c r="AD7" s="8"/>
      <c r="AE7" s="8"/>
      <c r="AF7" s="8"/>
    </row>
    <row r="8" spans="1:32">
      <c r="A8">
        <v>30</v>
      </c>
      <c r="B8">
        <v>115</v>
      </c>
      <c r="D8">
        <v>30</v>
      </c>
      <c r="E8">
        <v>162</v>
      </c>
      <c r="Z8" s="8"/>
      <c r="AA8" s="8"/>
      <c r="AB8" s="8"/>
      <c r="AC8" s="8"/>
      <c r="AD8" s="8"/>
      <c r="AE8" s="8"/>
      <c r="AF8" s="8"/>
    </row>
    <row r="9" spans="1:32">
      <c r="A9">
        <v>40</v>
      </c>
      <c r="B9">
        <v>82.4</v>
      </c>
      <c r="D9">
        <v>40</v>
      </c>
      <c r="E9">
        <v>61.6</v>
      </c>
      <c r="Z9" s="8"/>
      <c r="AA9" s="8"/>
      <c r="AB9" s="8"/>
      <c r="AC9" s="8"/>
      <c r="AD9" s="8"/>
      <c r="AE9" s="8"/>
      <c r="AF9" s="8"/>
    </row>
    <row r="10" spans="1:32">
      <c r="A10">
        <v>50</v>
      </c>
      <c r="B10">
        <v>69.2</v>
      </c>
      <c r="D10">
        <v>50</v>
      </c>
      <c r="E10">
        <v>20</v>
      </c>
      <c r="Z10" s="8"/>
      <c r="AA10" s="8"/>
      <c r="AB10" s="8"/>
      <c r="AC10" s="8"/>
      <c r="AD10" s="8"/>
      <c r="AE10" s="8"/>
      <c r="AF10" s="8"/>
    </row>
    <row r="11" spans="1:32">
      <c r="A11">
        <v>60</v>
      </c>
      <c r="B11">
        <v>25.8</v>
      </c>
      <c r="D11">
        <v>60</v>
      </c>
      <c r="E11">
        <v>9.8000000000000007</v>
      </c>
      <c r="Z11" s="8"/>
      <c r="AA11" s="8"/>
      <c r="AB11" s="8"/>
      <c r="AC11" s="8"/>
      <c r="AD11" s="8"/>
      <c r="AE11" s="8"/>
      <c r="AF11" s="8"/>
    </row>
    <row r="12" spans="1:32">
      <c r="A12">
        <v>70</v>
      </c>
      <c r="B12">
        <v>19</v>
      </c>
      <c r="D12">
        <v>70</v>
      </c>
      <c r="Z12" s="8"/>
      <c r="AA12" s="8"/>
      <c r="AB12" s="8"/>
      <c r="AC12" s="8"/>
      <c r="AD12" s="8"/>
      <c r="AE12" s="8"/>
      <c r="AF12" s="8"/>
    </row>
    <row r="13" spans="1:32">
      <c r="A13">
        <v>80</v>
      </c>
      <c r="B13">
        <v>16.7</v>
      </c>
      <c r="D13">
        <v>80</v>
      </c>
    </row>
    <row r="14" spans="1:32">
      <c r="A14">
        <v>90</v>
      </c>
      <c r="B14">
        <v>12.3</v>
      </c>
      <c r="D14">
        <v>90</v>
      </c>
    </row>
    <row r="15" spans="1:32">
      <c r="A15">
        <v>100</v>
      </c>
      <c r="B15">
        <v>7.7</v>
      </c>
      <c r="D15">
        <v>100</v>
      </c>
      <c r="AB15" s="2" t="s">
        <v>13</v>
      </c>
      <c r="AC15" s="2" t="s">
        <v>14</v>
      </c>
      <c r="AE15" s="9" t="s">
        <v>17</v>
      </c>
      <c r="AF15" s="9"/>
    </row>
    <row r="16" spans="1:32" ht="14.4" customHeight="1">
      <c r="AA16" s="3" t="s">
        <v>15</v>
      </c>
      <c r="AB16" s="2">
        <v>65</v>
      </c>
      <c r="AC16" s="2">
        <v>22</v>
      </c>
      <c r="AE16" s="9"/>
      <c r="AF16" s="9"/>
    </row>
    <row r="17" spans="1:32">
      <c r="A17" s="1" t="s">
        <v>5</v>
      </c>
      <c r="B17" s="6" t="s">
        <v>7</v>
      </c>
      <c r="C17" s="6"/>
      <c r="AA17" s="3" t="s">
        <v>16</v>
      </c>
      <c r="AB17" s="2">
        <v>80</v>
      </c>
      <c r="AC17" s="2">
        <v>20</v>
      </c>
      <c r="AE17" s="2" t="s">
        <v>13</v>
      </c>
      <c r="AF17" s="2" t="s">
        <v>12</v>
      </c>
    </row>
    <row r="18" spans="1:32">
      <c r="A18" s="1"/>
      <c r="B18" s="2"/>
      <c r="C18" s="2"/>
      <c r="AE18">
        <f>1000*0.008^2/0.01</f>
        <v>6.4</v>
      </c>
      <c r="AF18">
        <f>1000*0.028^2/0.01</f>
        <v>78.400000000000006</v>
      </c>
    </row>
    <row r="19" spans="1:32">
      <c r="A19" s="2" t="s">
        <v>3</v>
      </c>
      <c r="B19" s="2" t="s">
        <v>0</v>
      </c>
    </row>
    <row r="20" spans="1:32">
      <c r="A20">
        <v>0</v>
      </c>
      <c r="B20">
        <v>26.8</v>
      </c>
    </row>
    <row r="21" spans="1:32">
      <c r="A21">
        <v>10</v>
      </c>
      <c r="B21">
        <v>36</v>
      </c>
      <c r="C21">
        <f t="shared" ref="C21:C38" si="0">612*(SIN(RADIANS(A21))^2)</f>
        <v>18.454058039512031</v>
      </c>
    </row>
    <row r="22" spans="1:32">
      <c r="A22">
        <v>20</v>
      </c>
      <c r="B22">
        <v>72</v>
      </c>
      <c r="C22">
        <f t="shared" si="0"/>
        <v>71.590400405592717</v>
      </c>
    </row>
    <row r="23" spans="1:32">
      <c r="A23">
        <v>30</v>
      </c>
      <c r="B23">
        <v>141</v>
      </c>
      <c r="C23">
        <f t="shared" si="0"/>
        <v>152.99999999999997</v>
      </c>
    </row>
    <row r="24" spans="1:32">
      <c r="A24">
        <v>40</v>
      </c>
      <c r="B24">
        <v>330</v>
      </c>
      <c r="C24">
        <f t="shared" si="0"/>
        <v>252.86365763391925</v>
      </c>
    </row>
    <row r="25" spans="1:32">
      <c r="A25">
        <v>50</v>
      </c>
      <c r="B25">
        <v>462</v>
      </c>
      <c r="C25">
        <f t="shared" si="0"/>
        <v>359.13634236608067</v>
      </c>
    </row>
    <row r="26" spans="1:32">
      <c r="A26">
        <v>60</v>
      </c>
      <c r="B26">
        <v>552</v>
      </c>
      <c r="C26">
        <f t="shared" si="0"/>
        <v>458.99999999999994</v>
      </c>
    </row>
    <row r="27" spans="1:32">
      <c r="A27">
        <v>70</v>
      </c>
      <c r="B27">
        <v>584</v>
      </c>
      <c r="C27">
        <f t="shared" si="0"/>
        <v>540.40959959440715</v>
      </c>
    </row>
    <row r="28" spans="1:32">
      <c r="A28">
        <v>80</v>
      </c>
      <c r="B28">
        <v>612</v>
      </c>
      <c r="C28">
        <f t="shared" si="0"/>
        <v>593.54594196048788</v>
      </c>
    </row>
    <row r="29" spans="1:32">
      <c r="A29">
        <v>90</v>
      </c>
      <c r="B29">
        <v>612</v>
      </c>
      <c r="C29">
        <f t="shared" si="0"/>
        <v>612</v>
      </c>
    </row>
    <row r="30" spans="1:32">
      <c r="A30">
        <v>100</v>
      </c>
      <c r="B30">
        <v>608</v>
      </c>
      <c r="C30">
        <f t="shared" si="0"/>
        <v>593.54594196048788</v>
      </c>
    </row>
    <row r="31" spans="1:32">
      <c r="A31">
        <v>110</v>
      </c>
      <c r="B31">
        <v>572</v>
      </c>
      <c r="C31">
        <f t="shared" si="0"/>
        <v>540.40959959440727</v>
      </c>
    </row>
    <row r="32" spans="1:32">
      <c r="A32">
        <v>120</v>
      </c>
      <c r="B32">
        <v>536</v>
      </c>
      <c r="C32">
        <f t="shared" si="0"/>
        <v>459.00000000000006</v>
      </c>
    </row>
    <row r="33" spans="1:3">
      <c r="A33">
        <v>130</v>
      </c>
      <c r="B33">
        <v>438</v>
      </c>
      <c r="C33">
        <f t="shared" si="0"/>
        <v>359.13634236608067</v>
      </c>
    </row>
    <row r="34" spans="1:3">
      <c r="A34">
        <v>140</v>
      </c>
      <c r="B34">
        <v>250</v>
      </c>
      <c r="C34">
        <f t="shared" si="0"/>
        <v>252.86365763391942</v>
      </c>
    </row>
    <row r="35" spans="1:3">
      <c r="A35">
        <v>150</v>
      </c>
      <c r="B35">
        <v>149</v>
      </c>
      <c r="C35">
        <f t="shared" si="0"/>
        <v>152.99999999999997</v>
      </c>
    </row>
    <row r="36" spans="1:3">
      <c r="A36">
        <v>160</v>
      </c>
      <c r="B36">
        <v>60</v>
      </c>
      <c r="C36">
        <f t="shared" si="0"/>
        <v>71.590400405592774</v>
      </c>
    </row>
    <row r="37" spans="1:3">
      <c r="A37">
        <v>170</v>
      </c>
      <c r="B37">
        <v>36.4</v>
      </c>
      <c r="C37">
        <f t="shared" si="0"/>
        <v>18.45405803951202</v>
      </c>
    </row>
    <row r="38" spans="1:3">
      <c r="A38">
        <v>180</v>
      </c>
      <c r="B38">
        <v>54.4</v>
      </c>
      <c r="C38">
        <f t="shared" si="0"/>
        <v>9.186051067777671E-30</v>
      </c>
    </row>
    <row r="40" spans="1:3">
      <c r="A40" s="1" t="s">
        <v>8</v>
      </c>
      <c r="B40" s="6" t="s">
        <v>9</v>
      </c>
      <c r="C40" s="6"/>
    </row>
    <row r="42" spans="1:3">
      <c r="A42" s="2" t="s">
        <v>10</v>
      </c>
      <c r="B42" s="2" t="s">
        <v>19</v>
      </c>
      <c r="C42" s="2" t="s">
        <v>20</v>
      </c>
    </row>
    <row r="43" spans="1:3">
      <c r="A43">
        <v>1</v>
      </c>
      <c r="B43">
        <v>62.9</v>
      </c>
      <c r="C43">
        <f>B44-B43</f>
        <v>5.6000000000000014</v>
      </c>
    </row>
    <row r="44" spans="1:3">
      <c r="A44">
        <v>2</v>
      </c>
      <c r="B44">
        <v>68.5</v>
      </c>
      <c r="C44">
        <f t="shared" ref="C44:C47" si="1">B45-B44</f>
        <v>5.5</v>
      </c>
    </row>
    <row r="45" spans="1:3">
      <c r="A45">
        <v>3</v>
      </c>
      <c r="B45">
        <v>74</v>
      </c>
      <c r="C45">
        <f t="shared" si="1"/>
        <v>5.5</v>
      </c>
    </row>
    <row r="46" spans="1:3">
      <c r="A46">
        <v>4</v>
      </c>
      <c r="B46">
        <v>79.5</v>
      </c>
      <c r="C46">
        <f t="shared" si="1"/>
        <v>5.5</v>
      </c>
    </row>
    <row r="47" spans="1:3">
      <c r="A47">
        <v>5</v>
      </c>
      <c r="B47">
        <v>85</v>
      </c>
      <c r="C47">
        <f t="shared" si="1"/>
        <v>5.3499999999999943</v>
      </c>
    </row>
    <row r="48" spans="1:3">
      <c r="A48">
        <v>6</v>
      </c>
      <c r="B48">
        <v>90.35</v>
      </c>
    </row>
    <row r="50" spans="1:3">
      <c r="A50" s="5" t="s">
        <v>18</v>
      </c>
      <c r="B50" s="5"/>
      <c r="C50" s="5"/>
    </row>
    <row r="51" spans="1:3">
      <c r="A51" s="5"/>
      <c r="B51" s="5"/>
      <c r="C51" s="5"/>
    </row>
    <row r="54" spans="1:3">
      <c r="A54">
        <f>AVERAGE(C43:C47)</f>
        <v>5.4899999999999993</v>
      </c>
      <c r="B54" s="4">
        <f>2*A54</f>
        <v>10.979999999999999</v>
      </c>
    </row>
  </sheetData>
  <mergeCells count="7">
    <mergeCell ref="Z4:AF12"/>
    <mergeCell ref="AE15:AF16"/>
    <mergeCell ref="A50:C51"/>
    <mergeCell ref="D3:E3"/>
    <mergeCell ref="B1:C1"/>
    <mergeCell ref="B17:C17"/>
    <mergeCell ref="B40:C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Бурачек</dc:creator>
  <cp:lastModifiedBy>User</cp:lastModifiedBy>
  <dcterms:created xsi:type="dcterms:W3CDTF">2026-04-22T15:35:24Z</dcterms:created>
  <dcterms:modified xsi:type="dcterms:W3CDTF">2026-04-27T20:13:44Z</dcterms:modified>
</cp:coreProperties>
</file>